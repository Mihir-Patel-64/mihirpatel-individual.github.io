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wer Budget"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For inductive loads (e.g., motors, solenoids) this is often called "stall current" on the data sheet</t>
      </text>
    </comment>
  </commentList>
</comments>
</file>

<file path=xl/sharedStrings.xml><?xml version="1.0" encoding="utf-8"?>
<sst xmlns="http://schemas.openxmlformats.org/spreadsheetml/2006/main" count="138" uniqueCount="74">
  <si>
    <t>Power Budget</t>
  </si>
  <si>
    <t>Team Number:</t>
  </si>
  <si>
    <t>Project Name:</t>
  </si>
  <si>
    <t>Modular Motion-and-light sensing control subsystem</t>
  </si>
  <si>
    <t>Team Member Names:</t>
  </si>
  <si>
    <t>Mihir Patel, Adrian Perez, Zane Brauer</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</si>
  <si>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</si>
  <si>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</si>
  <si>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</si>
  <si>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</si>
  <si>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</si>
  <si>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</si>
  <si>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</si>
  <si>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</si>
  <si>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</si>
  <si>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</si>
  <si>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PIC18F57Q43 Microcontroller</t>
  </si>
  <si>
    <t>PIC18F57Q43</t>
  </si>
  <si>
    <t>1.8V - 5.5V</t>
  </si>
  <si>
    <t>mA</t>
  </si>
  <si>
    <t>Motion Sensor (LSI/CSI)</t>
  </si>
  <si>
    <t>LS6501LP</t>
  </si>
  <si>
    <t>3V - 5V</t>
  </si>
  <si>
    <t>Motor (Pololu - 2371)</t>
  </si>
  <si>
    <t>Pololu 2371 Motor</t>
  </si>
  <si>
    <t>3V - 9V</t>
  </si>
  <si>
    <t>H-bridge Motor Driver</t>
  </si>
  <si>
    <t>FAN8100N</t>
  </si>
  <si>
    <t>5V - 20V</t>
  </si>
  <si>
    <t>Op-Amp (MCP6004)</t>
  </si>
  <si>
    <t>MCP6004</t>
  </si>
  <si>
    <t>2.7V - 6.0V</t>
  </si>
  <si>
    <t>LED Status Indicators</t>
  </si>
  <si>
    <t>Generic Red</t>
  </si>
  <si>
    <t>5V</t>
  </si>
  <si>
    <t>5V Regulator</t>
  </si>
  <si>
    <t>LM7805</t>
  </si>
  <si>
    <t>7V - 35V</t>
  </si>
  <si>
    <t>B. Assign each major component above to ONE power rail below. Try to minimize the number of different power rails in the design. 
Add additional power rails or change the power rail voltages if needed.</t>
  </si>
  <si>
    <t xml:space="preserve"> +5V Power Rail</t>
  </si>
  <si>
    <t>1.8V to 5.5V</t>
  </si>
  <si>
    <t>Motion Sensor</t>
  </si>
  <si>
    <t>3V - 5.5V</t>
  </si>
  <si>
    <t>MCP6004 Op-Amp</t>
  </si>
  <si>
    <t>LED</t>
  </si>
  <si>
    <t>H-bridge</t>
  </si>
  <si>
    <t>DC Motor (Gearmotor)</t>
  </si>
  <si>
    <t>2371 - Pololu</t>
  </si>
  <si>
    <t xml:space="preserve">Subtotal </t>
  </si>
  <si>
    <t>Safety Margin</t>
  </si>
  <si>
    <t>Total Current Required on +5V Rail</t>
  </si>
  <si>
    <t>c2. Regulator or Source Choice</t>
  </si>
  <si>
    <t xml:space="preserve"> +5V Regulator</t>
  </si>
  <si>
    <t>Total Remaining Current Available on +5V Rail</t>
  </si>
  <si>
    <t>C. For each power rail above, select a specific voltage regulator using the same process as for major component selection. Confirm that the Total Remaining Current Available on each rail above is not negative.</t>
  </si>
  <si>
    <t>Rail</t>
  </si>
  <si>
    <t>Supply
Voltage
Range</t>
  </si>
  <si>
    <t>Subtotal</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</si>
  <si>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</si>
  <si>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</si>
  <si>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</si>
  <si>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</si>
  <si>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</si>
  <si>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Amazon B09ZTKTLGW</t>
  </si>
  <si>
    <t>110VAC</t>
  </si>
  <si>
    <t>12V DC</t>
  </si>
  <si>
    <t>Power Rails Connected to External Power Source 1</t>
  </si>
  <si>
    <t xml:space="preserve"> </t>
  </si>
  <si>
    <t xml:space="preserve"> 12V -&gt; 5V</t>
  </si>
  <si>
    <t xml:space="preserve"> +5V</t>
  </si>
  <si>
    <t>Total Remaining Current Available on External Power Source 1</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</si>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</sst>
</file>

<file path=xl/styles.xml><?xml version="1.0" encoding="utf-8"?>
<styleSheet xmlns="http://schemas.openxmlformats.org/spreadsheetml/2006/main" xmlns:x14ac="http://schemas.microsoft.com/office/spreadsheetml/2009/9/ac" xmlns:mc="http://schemas.openxmlformats.org/markup-compatibility/2006">
  <fonts count="18">
    <font>
      <sz val="12.0"/>
      <color rgb="FF000000"/>
      <name val="Calibri"/>
      <scheme val="minor"/>
    </font>
    <font>
      <b/>
      <sz val="24.0"/>
      <color rgb="FF000000"/>
      <name val="Calibri"/>
    </font>
    <font>
      <b/>
      <sz val="12.0"/>
      <color rgb="FF000000"/>
      <name val="Calibri"/>
    </font>
    <font>
      <sz val="12.0"/>
      <color theme="1"/>
      <name val="Calibri"/>
    </font>
    <font/>
    <font>
      <sz val="12.0"/>
      <color rgb="FF000000"/>
      <name val="Calibri"/>
    </font>
    <font>
      <b/>
      <sz val="12.0"/>
      <color rgb="FF000000"/>
      <name val="Arial"/>
    </font>
    <font>
      <b/>
      <i/>
      <sz val="12.0"/>
      <color rgb="FF000000"/>
      <name val="Arial"/>
    </font>
    <font>
      <b/>
      <sz val="10.0"/>
      <color rgb="FF000000"/>
      <name val="Arial"/>
    </font>
    <font>
      <color theme="1"/>
      <name val="Calibri"/>
      <scheme val="minor"/>
    </font>
    <font>
      <sz val="12.0"/>
      <color rgb="FF000000"/>
      <name val="Arial"/>
    </font>
    <font>
      <b/>
      <i/>
      <sz val="12.0"/>
      <color rgb="FF000000"/>
      <name val="Calibri"/>
    </font>
    <font>
      <b/>
      <i/>
      <sz val="12.0"/>
      <color theme="1"/>
      <name val="Arial"/>
    </font>
    <font>
      <b/>
      <sz val="12.0"/>
      <color theme="1"/>
      <name val="Calibri"/>
    </font>
    <font>
      <b/>
      <sz val="12.0"/>
      <color theme="1"/>
      <name val="Arial"/>
    </font>
    <font>
      <i/>
      <sz val="12.0"/>
      <color theme="1"/>
      <name val="Arial"/>
    </font>
    <font>
      <sz val="12.0"/>
      <color theme="1"/>
      <name val="Arial"/>
    </font>
    <font>
      <b/>
      <i/>
      <sz val="12.0"/>
      <color theme="1"/>
      <name val="Calibri"/>
    </font>
  </fonts>
  <fills count="5">
    <fill>
      <patternFill patternType="none"/>
    </fill>
    <fill>
      <patternFill patternType="lightGray"/>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
      <left style="thin">
        <color rgb="FF000000"/>
      </lef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border>
    <border>
      <left/>
      <top/>
      <bottom/>
    </border>
    <border>
      <top/>
      <bottom/>
    </border>
    <border>
      <right/>
      <top/>
      <bottom/>
    </border>
    <border>
      <left/>
      <right/>
      <top/>
      <bottom/>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0" fillId="0" fontId="1" numFmtId="0" xfId="0" applyAlignment="1" applyFont="1">
      <alignment horizontal="center" readingOrder="0"/>
    </xf>
    <xf borderId="1" fillId="0" fontId="2" numFmtId="0" xfId="0" applyBorder="1" applyFont="1"/>
    <xf borderId="2" fillId="0" fontId="3" numFmtId="0" xfId="0" applyAlignment="1" applyBorder="1" applyFont="1">
      <alignment horizontal="left" readingOrder="0"/>
    </xf>
    <xf borderId="3" fillId="0" fontId="4" numFmtId="0" xfId="0" applyBorder="1" applyFont="1"/>
    <xf borderId="4" fillId="0" fontId="4" numFmtId="0" xfId="0" applyBorder="1" applyFont="1"/>
    <xf borderId="0" fillId="0" fontId="2" numFmtId="0" xfId="0" applyAlignment="1" applyFont="1">
      <alignment horizontal="center"/>
    </xf>
    <xf borderId="0" fillId="0" fontId="5" numFmtId="0" xfId="0" applyFont="1"/>
    <xf borderId="1" fillId="0" fontId="6" numFmtId="0" xfId="0" applyBorder="1" applyFont="1"/>
    <xf borderId="2" fillId="0" fontId="2" numFmtId="0" xfId="0" applyAlignment="1" applyBorder="1" applyFont="1">
      <alignment readingOrder="0"/>
    </xf>
    <xf borderId="0" fillId="0" fontId="2" numFmtId="0" xfId="0" applyFont="1"/>
    <xf borderId="0" fillId="0" fontId="6" numFmtId="0" xfId="0" applyFont="1"/>
    <xf borderId="2" fillId="2" fontId="7" numFmtId="0" xfId="0" applyAlignment="1" applyBorder="1" applyFill="1" applyFont="1">
      <alignment shrinkToFit="0" wrapText="1"/>
    </xf>
    <xf borderId="5" fillId="3" fontId="6" numFmtId="0" xfId="0" applyAlignment="1" applyBorder="1" applyFill="1" applyFont="1">
      <alignment horizontal="center"/>
    </xf>
    <xf borderId="6" fillId="3" fontId="2" numFmtId="0" xfId="0" applyAlignment="1" applyBorder="1" applyFont="1">
      <alignment horizontal="center"/>
    </xf>
    <xf borderId="6" fillId="3" fontId="8" numFmtId="0" xfId="0" applyAlignment="1" applyBorder="1" applyFont="1">
      <alignment horizontal="center" readingOrder="0"/>
    </xf>
    <xf borderId="6" fillId="3" fontId="6" numFmtId="0" xfId="0" applyAlignment="1" applyBorder="1" applyFont="1">
      <alignment horizontal="center"/>
    </xf>
    <xf borderId="7" fillId="3" fontId="6" numFmtId="0" xfId="0" applyAlignment="1" applyBorder="1" applyFont="1">
      <alignment horizontal="center"/>
    </xf>
    <xf borderId="8" fillId="0" fontId="5" numFmtId="0" xfId="0" applyBorder="1" applyFont="1"/>
    <xf borderId="0" fillId="0" fontId="5" numFmtId="0" xfId="0" applyAlignment="1" applyFont="1">
      <alignment readingOrder="0"/>
    </xf>
    <xf borderId="0" fillId="0" fontId="0" numFmtId="0" xfId="0" applyAlignment="1" applyFont="1">
      <alignment horizontal="center" readingOrder="0"/>
    </xf>
    <xf borderId="0" fillId="0" fontId="0" numFmtId="0" xfId="0" applyAlignment="1" applyFont="1">
      <alignment horizontal="center"/>
    </xf>
    <xf borderId="0" fillId="0" fontId="0" numFmtId="0" xfId="0" applyAlignment="1" applyFont="1">
      <alignment readingOrder="0"/>
    </xf>
    <xf borderId="9" fillId="0" fontId="0" numFmtId="0" xfId="0" applyBorder="1" applyFont="1"/>
    <xf borderId="9" fillId="0" fontId="0" numFmtId="0" xfId="0" applyAlignment="1" applyBorder="1" applyFont="1">
      <alignment readingOrder="0"/>
    </xf>
    <xf borderId="0" fillId="0" fontId="9" numFmtId="0" xfId="0" applyAlignment="1" applyFont="1">
      <alignment readingOrder="0"/>
    </xf>
    <xf borderId="9" fillId="0" fontId="5" numFmtId="0" xfId="0" applyAlignment="1" applyBorder="1" applyFont="1">
      <alignment readingOrder="0"/>
    </xf>
    <xf borderId="9" fillId="0" fontId="10" numFmtId="0" xfId="0" applyAlignment="1" applyBorder="1" applyFont="1">
      <alignment readingOrder="0"/>
    </xf>
    <xf borderId="8" fillId="0" fontId="2" numFmtId="0" xfId="0" applyBorder="1" applyFont="1"/>
    <xf borderId="0" fillId="0" fontId="6" numFmtId="0" xfId="0" applyAlignment="1" applyFont="1">
      <alignment horizontal="center"/>
    </xf>
    <xf borderId="9" fillId="0" fontId="2" numFmtId="0" xfId="0" applyBorder="1" applyFont="1"/>
    <xf borderId="2" fillId="3" fontId="7" numFmtId="0" xfId="0" applyBorder="1" applyFont="1"/>
    <xf borderId="3" fillId="3" fontId="2" numFmtId="0" xfId="0" applyAlignment="1" applyBorder="1" applyFont="1">
      <alignment horizontal="center"/>
    </xf>
    <xf borderId="3" fillId="3" fontId="6" numFmtId="0" xfId="0" applyAlignment="1" applyBorder="1" applyFont="1">
      <alignment horizontal="center"/>
    </xf>
    <xf borderId="1" fillId="3" fontId="6" numFmtId="0" xfId="0" applyAlignment="1" applyBorder="1" applyFont="1">
      <alignment horizontal="center"/>
    </xf>
    <xf borderId="5" fillId="3" fontId="7" numFmtId="0" xfId="0" applyBorder="1" applyFont="1"/>
    <xf borderId="0" fillId="0" fontId="5" numFmtId="0" xfId="0" applyAlignment="1" applyFont="1">
      <alignment horizontal="center" readingOrder="0"/>
    </xf>
    <xf borderId="9" fillId="0" fontId="5" numFmtId="0" xfId="0" applyBorder="1" applyFont="1"/>
    <xf borderId="9" fillId="0" fontId="10" numFmtId="0" xfId="0" applyBorder="1" applyFont="1"/>
    <xf borderId="0" fillId="0" fontId="10" numFmtId="0" xfId="0" applyAlignment="1" applyFont="1">
      <alignment horizontal="center"/>
    </xf>
    <xf borderId="0" fillId="0" fontId="10" numFmtId="0" xfId="0" applyAlignment="1" applyFont="1">
      <alignment readingOrder="0"/>
    </xf>
    <xf borderId="0" fillId="0" fontId="3" numFmtId="0" xfId="0" applyAlignment="1" applyFont="1">
      <alignment horizontal="center" readingOrder="0" vertical="bottom"/>
    </xf>
    <xf borderId="0" fillId="0" fontId="5" numFmtId="0" xfId="0" applyAlignment="1" applyFont="1">
      <alignment horizontal="right" readingOrder="0"/>
    </xf>
    <xf borderId="0" fillId="0" fontId="11" numFmtId="0" xfId="0" applyAlignment="1" applyFont="1">
      <alignment horizontal="right"/>
    </xf>
    <xf borderId="9" fillId="0" fontId="5" numFmtId="9" xfId="0" applyBorder="1" applyFont="1" applyNumberFormat="1"/>
    <xf borderId="8" fillId="0" fontId="11" numFmtId="0" xfId="0" applyBorder="1" applyFont="1"/>
    <xf borderId="0" fillId="0" fontId="7" numFmtId="0" xfId="0" applyAlignment="1" applyFont="1">
      <alignment horizontal="right"/>
    </xf>
    <xf borderId="8" fillId="0" fontId="7" numFmtId="0" xfId="0" applyAlignment="1" applyBorder="1" applyFont="1">
      <alignment horizontal="left"/>
    </xf>
    <xf borderId="0" fillId="0" fontId="10" numFmtId="0" xfId="0" applyAlignment="1" applyFont="1">
      <alignment horizontal="left"/>
    </xf>
    <xf borderId="0" fillId="0" fontId="10" numFmtId="0" xfId="0" applyAlignment="1" applyFont="1">
      <alignment horizontal="right"/>
    </xf>
    <xf borderId="9" fillId="0" fontId="5" numFmtId="0" xfId="0" applyAlignment="1" applyBorder="1" applyFont="1">
      <alignment horizontal="right"/>
    </xf>
    <xf borderId="0" fillId="0" fontId="0" numFmtId="0" xfId="0" applyAlignment="1" applyFont="1">
      <alignment horizontal="left" readingOrder="0"/>
    </xf>
    <xf borderId="0" fillId="0" fontId="10" numFmtId="0" xfId="0" applyAlignment="1" applyFont="1">
      <alignment horizontal="center" readingOrder="0"/>
    </xf>
    <xf borderId="0" fillId="0" fontId="10" numFmtId="0" xfId="0" applyAlignment="1" applyFont="1">
      <alignment horizontal="right" readingOrder="0"/>
    </xf>
    <xf borderId="10" fillId="0" fontId="7" numFmtId="0" xfId="0" applyAlignment="1" applyBorder="1" applyFont="1">
      <alignment horizontal="left"/>
    </xf>
    <xf borderId="11" fillId="0" fontId="7" numFmtId="49" xfId="0" applyAlignment="1" applyBorder="1" applyFont="1" applyNumberFormat="1">
      <alignment horizontal="right"/>
    </xf>
    <xf borderId="11" fillId="0" fontId="4" numFmtId="0" xfId="0" applyBorder="1" applyFont="1"/>
    <xf borderId="8" fillId="0" fontId="7" numFmtId="0" xfId="0" applyAlignment="1" applyBorder="1" applyFont="1">
      <alignment shrinkToFit="0" wrapText="1"/>
    </xf>
    <xf borderId="0" fillId="0" fontId="7" numFmtId="0" xfId="0" applyAlignment="1" applyFont="1">
      <alignment shrinkToFit="0" wrapText="1"/>
    </xf>
    <xf borderId="8" fillId="0" fontId="7" numFmtId="0" xfId="0" applyBorder="1" applyFont="1"/>
    <xf borderId="9" fillId="0" fontId="7" numFmtId="0" xfId="0" applyBorder="1" applyFont="1"/>
    <xf borderId="10" fillId="0" fontId="7" numFmtId="0" xfId="0" applyAlignment="1" applyBorder="1" applyFont="1">
      <alignment shrinkToFit="0" wrapText="1"/>
    </xf>
    <xf borderId="12" fillId="0" fontId="4" numFmtId="0" xfId="0" applyBorder="1" applyFont="1"/>
    <xf borderId="5" fillId="3" fontId="12" numFmtId="0" xfId="0" applyAlignment="1" applyBorder="1" applyFont="1">
      <alignment horizontal="center" vertical="bottom"/>
    </xf>
    <xf borderId="6" fillId="3" fontId="13" numFmtId="0" xfId="0" applyAlignment="1" applyBorder="1" applyFont="1">
      <alignment horizontal="center" vertical="bottom"/>
    </xf>
    <xf borderId="6" fillId="3" fontId="14" numFmtId="0" xfId="0" applyAlignment="1" applyBorder="1" applyFont="1">
      <alignment horizontal="center" vertical="bottom"/>
    </xf>
    <xf borderId="1" fillId="3" fontId="14" numFmtId="0" xfId="0" applyAlignment="1" applyBorder="1" applyFont="1">
      <alignment horizontal="center" vertical="bottom"/>
    </xf>
    <xf borderId="0" fillId="0" fontId="3" numFmtId="0" xfId="0" applyAlignment="1" applyFont="1">
      <alignment vertical="bottom"/>
    </xf>
    <xf borderId="0" fillId="4" fontId="15" numFmtId="0" xfId="0" applyAlignment="1" applyFill="1" applyFont="1">
      <alignment horizontal="center" vertical="bottom"/>
    </xf>
    <xf borderId="0" fillId="0" fontId="3" numFmtId="0" xfId="0" applyAlignment="1" applyFont="1">
      <alignment vertical="bottom"/>
    </xf>
    <xf borderId="0" fillId="0" fontId="3" numFmtId="0" xfId="0" applyAlignment="1" applyFont="1">
      <alignment readingOrder="0" vertical="bottom"/>
    </xf>
    <xf borderId="0" fillId="0" fontId="16" numFmtId="0" xfId="0" applyAlignment="1" applyFont="1">
      <alignment horizontal="center" readingOrder="0" vertical="bottom"/>
    </xf>
    <xf borderId="0" fillId="0" fontId="3" numFmtId="0" xfId="0" applyAlignment="1" applyFont="1">
      <alignment horizontal="center" vertical="bottom"/>
    </xf>
    <xf borderId="0" fillId="0" fontId="3" numFmtId="0" xfId="0" applyAlignment="1" applyFont="1">
      <alignment horizontal="right" readingOrder="0" vertical="bottom"/>
    </xf>
    <xf borderId="9" fillId="0" fontId="3" numFmtId="0" xfId="0" applyAlignment="1" applyBorder="1" applyFont="1">
      <alignment horizontal="right" readingOrder="0" vertical="bottom"/>
    </xf>
    <xf borderId="9" fillId="0" fontId="16" numFmtId="0" xfId="0" applyAlignment="1" applyBorder="1" applyFont="1">
      <alignment vertical="bottom"/>
    </xf>
    <xf borderId="0" fillId="0" fontId="16" numFmtId="0" xfId="0" applyAlignment="1" applyFont="1">
      <alignment horizontal="center" vertical="bottom"/>
    </xf>
    <xf borderId="0" fillId="0" fontId="3" numFmtId="0" xfId="0" applyAlignment="1" applyFont="1">
      <alignment horizontal="right" vertical="bottom"/>
    </xf>
    <xf borderId="9" fillId="0" fontId="3" numFmtId="0" xfId="0" applyAlignment="1" applyBorder="1" applyFont="1">
      <alignment horizontal="right" vertical="bottom"/>
    </xf>
    <xf borderId="0" fillId="0" fontId="17" numFmtId="0" xfId="0" applyAlignment="1" applyFont="1">
      <alignment horizontal="right" readingOrder="0" vertical="bottom"/>
    </xf>
    <xf borderId="9" fillId="0" fontId="16" numFmtId="0" xfId="0" applyAlignment="1" applyBorder="1" applyFont="1">
      <alignment readingOrder="0" vertical="bottom"/>
    </xf>
    <xf borderId="6" fillId="3" fontId="6" numFmtId="0" xfId="0" applyAlignment="1" applyBorder="1" applyFont="1">
      <alignment horizontal="center" shrinkToFit="0" wrapText="1"/>
    </xf>
    <xf borderId="8" fillId="0" fontId="6" numFmtId="0" xfId="0" applyAlignment="1" applyBorder="1" applyFont="1">
      <alignment horizontal="left"/>
    </xf>
    <xf borderId="9" fillId="0" fontId="10" numFmtId="0" xfId="0" applyAlignment="1" applyBorder="1" applyFont="1">
      <alignment horizontal="right" readingOrder="0"/>
    </xf>
    <xf borderId="13" fillId="0" fontId="10" numFmtId="0" xfId="0" applyAlignment="1" applyBorder="1" applyFont="1">
      <alignment horizontal="left"/>
    </xf>
    <xf borderId="8" fillId="0" fontId="6" numFmtId="0" xfId="0" applyAlignment="1" applyBorder="1" applyFont="1">
      <alignment horizontal="center"/>
    </xf>
    <xf borderId="13" fillId="0" fontId="10" numFmtId="0" xfId="0" applyBorder="1" applyFont="1"/>
    <xf borderId="8" fillId="0" fontId="6" numFmtId="0" xfId="0" applyAlignment="1" applyBorder="1" applyFont="1">
      <alignment horizontal="left" shrinkToFit="0" vertical="center" wrapText="1"/>
    </xf>
    <xf borderId="0" fillId="0" fontId="10" numFmtId="0" xfId="0" applyAlignment="1" applyFont="1">
      <alignment horizontal="left" readingOrder="0"/>
    </xf>
    <xf borderId="9" fillId="0" fontId="5" numFmtId="0" xfId="0" applyAlignment="1" applyBorder="1" applyFont="1">
      <alignment horizontal="right" readingOrder="0"/>
    </xf>
    <xf borderId="8" fillId="0" fontId="4" numFmtId="0" xfId="0" applyBorder="1" applyFont="1"/>
    <xf borderId="0" fillId="0" fontId="10" numFmtId="0" xfId="0" applyFont="1"/>
    <xf borderId="0" fillId="0" fontId="7" numFmtId="49" xfId="0" applyAlignment="1" applyFont="1" applyNumberFormat="1">
      <alignment horizontal="right"/>
    </xf>
    <xf borderId="9" fillId="0" fontId="10" numFmtId="0" xfId="0" applyAlignment="1" applyBorder="1" applyFont="1">
      <alignment horizontal="right"/>
    </xf>
    <xf borderId="9" fillId="0" fontId="6" numFmtId="0" xfId="0" applyAlignment="1" applyBorder="1" applyFont="1">
      <alignment horizontal="center"/>
    </xf>
    <xf borderId="13" fillId="0" fontId="6" numFmtId="0" xfId="0" applyAlignment="1" applyBorder="1" applyFont="1">
      <alignment horizontal="center"/>
    </xf>
    <xf borderId="0" fillId="0" fontId="16" numFmtId="0" xfId="0" applyFont="1"/>
    <xf borderId="9" fillId="0" fontId="5" numFmtId="0" xfId="0" applyAlignment="1" applyBorder="1" applyFont="1">
      <alignment horizontal="center"/>
    </xf>
    <xf borderId="14" fillId="2" fontId="7" numFmtId="0" xfId="0" applyBorder="1" applyFont="1"/>
    <xf borderId="15" fillId="0" fontId="4" numFmtId="0" xfId="0" applyBorder="1" applyFont="1"/>
    <xf borderId="16" fillId="0" fontId="4" numFmtId="0" xfId="0" applyBorder="1" applyFont="1"/>
    <xf borderId="17" fillId="2" fontId="5" numFmtId="0" xfId="0" applyBorder="1" applyFont="1"/>
    <xf borderId="0" fillId="0" fontId="10" numFmtId="0" xfId="0" applyAlignment="1" applyFont="1">
      <alignment shrinkToFit="0" wrapText="1"/>
    </xf>
    <xf borderId="14" fillId="4" fontId="10" numFmtId="0" xfId="0" applyAlignment="1" applyBorder="1" applyFont="1">
      <alignment horizontal="left" shrinkToFit="0" wrapText="1"/>
    </xf>
  </cellXfs>
  <cellStyles count="1">
    <cellStyle xfId="0" name="Normal" builtinId="0"/>
  </cellStyles>
  <dxfs count="1">
    <dxf>
      <font>
        <color rgb="FF000000"/>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1.22" defaultRowHeight="15.0"/>
  <cols>
    <col customWidth="1" min="1" max="1" width="26.11"/>
    <col customWidth="1" min="2" max="2" width="27.67"/>
    <col customWidth="1" min="3" max="3" width="22.56"/>
    <col customWidth="1" min="4" max="4" width="16.78"/>
    <col customWidth="1" min="5" max="5" width="6.89"/>
    <col customWidth="1" min="6" max="6" width="12.33"/>
    <col customWidth="1" min="7" max="7" width="12.67"/>
    <col customWidth="1" min="8" max="8" width="9.0"/>
    <col customWidth="1" min="9" max="26" width="13.44"/>
  </cols>
  <sheetData>
    <row r="1" ht="30.0" customHeight="1">
      <c r="A1" s="1" t="s">
        <v>0</v>
      </c>
    </row>
    <row r="2" ht="15.0" customHeight="1">
      <c r="A2" s="2" t="s">
        <v>1</v>
      </c>
      <c r="B2" s="3">
        <v>206.0</v>
      </c>
      <c r="C2" s="4"/>
      <c r="D2" s="5"/>
      <c r="E2" s="6"/>
      <c r="F2" s="7"/>
      <c r="G2" s="7"/>
      <c r="H2" s="7"/>
    </row>
    <row r="3" ht="15.0" customHeight="1">
      <c r="A3" s="8" t="s">
        <v>2</v>
      </c>
      <c r="B3" s="9" t="s">
        <v>3</v>
      </c>
      <c r="C3" s="4"/>
      <c r="D3" s="5"/>
      <c r="E3" s="6"/>
      <c r="F3" s="10"/>
      <c r="G3" s="10"/>
      <c r="H3" s="10"/>
    </row>
    <row r="4" ht="15.0" customHeight="1">
      <c r="A4" s="8" t="s">
        <v>4</v>
      </c>
      <c r="B4" s="9" t="s">
        <v>5</v>
      </c>
      <c r="C4" s="4"/>
      <c r="D4" s="5"/>
      <c r="E4" s="6"/>
      <c r="F4" s="10"/>
      <c r="G4" s="10"/>
      <c r="H4" s="10"/>
    </row>
    <row r="5" ht="15.0" customHeight="1">
      <c r="A5" s="8" t="s">
        <v>6</v>
      </c>
      <c r="B5" s="9">
        <v>2.0</v>
      </c>
      <c r="C5" s="4"/>
      <c r="D5" s="5"/>
      <c r="E5" s="6"/>
      <c r="F5" s="10"/>
      <c r="G5" s="10"/>
      <c r="H5" s="10"/>
    </row>
    <row r="6" ht="15.0" customHeight="1">
      <c r="A6" s="11"/>
      <c r="B6" s="10"/>
      <c r="C6" s="10"/>
      <c r="D6" s="6"/>
      <c r="E6" s="6"/>
      <c r="F6" s="10"/>
      <c r="G6" s="10"/>
      <c r="H6" s="10"/>
    </row>
    <row r="7" ht="15.0" customHeight="1">
      <c r="A7" s="12" t="s">
        <v>7</v>
      </c>
      <c r="B7" s="4"/>
      <c r="C7" s="4"/>
      <c r="D7" s="4"/>
      <c r="E7" s="4"/>
      <c r="F7" s="4"/>
      <c r="G7" s="4"/>
      <c r="H7" s="5"/>
    </row>
    <row r="8" ht="15.0" customHeight="1">
      <c r="A8" s="13" t="s">
        <v>8</v>
      </c>
      <c r="B8" s="14" t="s">
        <v>9</v>
      </c>
      <c r="C8" s="14" t="s">
        <v>10</v>
      </c>
      <c r="D8" s="15" t="s">
        <v>11</v>
      </c>
      <c r="E8" s="16" t="s">
        <v>12</v>
      </c>
      <c r="F8" s="16" t="s">
        <v>13</v>
      </c>
      <c r="G8" s="17" t="s">
        <v>14</v>
      </c>
      <c r="H8" s="17" t="s">
        <v>15</v>
      </c>
    </row>
    <row r="9" ht="15.0" customHeight="1">
      <c r="A9" s="18"/>
      <c r="B9" s="19" t="s">
        <v>16</v>
      </c>
      <c r="C9" s="19" t="s">
        <v>17</v>
      </c>
      <c r="D9" s="20" t="s">
        <v>18</v>
      </c>
      <c r="E9" s="21">
        <v>1.0</v>
      </c>
      <c r="F9" s="22">
        <v>500.0</v>
      </c>
      <c r="G9" s="23">
        <f t="shared" ref="G9:G12" si="1">E9*F9</f>
        <v>500</v>
      </c>
      <c r="H9" s="23" t="s">
        <v>19</v>
      </c>
    </row>
    <row r="10" ht="15.0" customHeight="1">
      <c r="A10" s="18"/>
      <c r="B10" s="19" t="s">
        <v>20</v>
      </c>
      <c r="C10" s="19" t="s">
        <v>21</v>
      </c>
      <c r="D10" s="20" t="s">
        <v>22</v>
      </c>
      <c r="E10" s="21">
        <v>1.0</v>
      </c>
      <c r="F10" s="22">
        <v>5.0</v>
      </c>
      <c r="G10" s="23">
        <f t="shared" si="1"/>
        <v>5</v>
      </c>
      <c r="H10" s="23" t="s">
        <v>19</v>
      </c>
    </row>
    <row r="11" ht="15.0" customHeight="1">
      <c r="A11" s="18"/>
      <c r="B11" s="19" t="s">
        <v>23</v>
      </c>
      <c r="C11" s="19" t="s">
        <v>24</v>
      </c>
      <c r="D11" s="20" t="s">
        <v>25</v>
      </c>
      <c r="E11" s="20">
        <v>1.0</v>
      </c>
      <c r="F11" s="22">
        <v>550.0</v>
      </c>
      <c r="G11" s="23">
        <f t="shared" si="1"/>
        <v>550</v>
      </c>
      <c r="H11" s="23" t="s">
        <v>19</v>
      </c>
    </row>
    <row r="12" ht="15.0" customHeight="1">
      <c r="A12" s="18"/>
      <c r="B12" s="19" t="s">
        <v>26</v>
      </c>
      <c r="C12" s="22" t="s">
        <v>27</v>
      </c>
      <c r="D12" s="20" t="s">
        <v>28</v>
      </c>
      <c r="E12" s="21">
        <v>1.0</v>
      </c>
      <c r="F12" s="22">
        <v>100.0</v>
      </c>
      <c r="G12" s="23">
        <f t="shared" si="1"/>
        <v>100</v>
      </c>
      <c r="H12" s="23" t="s">
        <v>19</v>
      </c>
    </row>
    <row r="13" ht="15.0" customHeight="1">
      <c r="A13" s="18"/>
      <c r="B13" s="22" t="s">
        <v>29</v>
      </c>
      <c r="C13" s="22" t="s">
        <v>30</v>
      </c>
      <c r="D13" s="20" t="s">
        <v>31</v>
      </c>
      <c r="E13" s="20">
        <v>1.0</v>
      </c>
      <c r="F13" s="22">
        <v>0.4</v>
      </c>
      <c r="G13" s="24">
        <v>0.4</v>
      </c>
      <c r="H13" s="24" t="s">
        <v>19</v>
      </c>
    </row>
    <row r="14" ht="15.0" customHeight="1">
      <c r="A14" s="18"/>
      <c r="B14" s="22" t="s">
        <v>32</v>
      </c>
      <c r="C14" s="25" t="s">
        <v>33</v>
      </c>
      <c r="D14" s="20" t="s">
        <v>34</v>
      </c>
      <c r="E14" s="20">
        <v>1.0</v>
      </c>
      <c r="F14" s="22">
        <v>20.0</v>
      </c>
      <c r="G14" s="24">
        <v>20.0</v>
      </c>
      <c r="H14" s="24" t="s">
        <v>19</v>
      </c>
    </row>
    <row r="15" ht="15.0" customHeight="1">
      <c r="A15" s="18"/>
      <c r="B15" s="22" t="s">
        <v>35</v>
      </c>
      <c r="C15" s="22" t="s">
        <v>36</v>
      </c>
      <c r="D15" s="20" t="s">
        <v>37</v>
      </c>
      <c r="E15" s="20">
        <v>1.0</v>
      </c>
      <c r="F15" s="22">
        <v>1500.0</v>
      </c>
      <c r="G15" s="26">
        <v>1500.0</v>
      </c>
      <c r="H15" s="27" t="s">
        <v>19</v>
      </c>
    </row>
    <row r="16" ht="15.0" customHeight="1">
      <c r="A16" s="28"/>
      <c r="B16" s="11"/>
      <c r="C16" s="10"/>
      <c r="D16" s="29"/>
      <c r="E16" s="6"/>
      <c r="F16" s="10"/>
      <c r="G16" s="30"/>
      <c r="H16" s="30"/>
    </row>
    <row r="17" ht="15.0" customHeight="1">
      <c r="A17" s="12" t="s">
        <v>38</v>
      </c>
      <c r="B17" s="4"/>
      <c r="C17" s="4"/>
      <c r="D17" s="4"/>
      <c r="E17" s="4"/>
      <c r="F17" s="4"/>
      <c r="G17" s="4"/>
      <c r="H17" s="5"/>
    </row>
    <row r="18" ht="15.0" customHeight="1">
      <c r="A18" s="31"/>
      <c r="B18" s="32"/>
      <c r="C18" s="32"/>
      <c r="D18" s="33"/>
      <c r="E18" s="33"/>
      <c r="F18" s="33"/>
      <c r="G18" s="34"/>
      <c r="H18" s="34"/>
    </row>
    <row r="19" ht="15.0" customHeight="1">
      <c r="A19" s="35" t="s">
        <v>39</v>
      </c>
      <c r="B19" s="14" t="s">
        <v>9</v>
      </c>
      <c r="C19" s="14" t="s">
        <v>10</v>
      </c>
      <c r="D19" s="15" t="s">
        <v>11</v>
      </c>
      <c r="E19" s="16" t="s">
        <v>12</v>
      </c>
      <c r="F19" s="16" t="s">
        <v>13</v>
      </c>
      <c r="G19" s="34" t="s">
        <v>14</v>
      </c>
      <c r="H19" s="34" t="s">
        <v>15</v>
      </c>
    </row>
    <row r="20" ht="15.0" customHeight="1">
      <c r="A20" s="18"/>
      <c r="B20" s="25" t="s">
        <v>16</v>
      </c>
      <c r="C20" s="19" t="s">
        <v>17</v>
      </c>
      <c r="D20" s="20" t="s">
        <v>40</v>
      </c>
      <c r="E20" s="36">
        <v>1.0</v>
      </c>
      <c r="F20" s="19">
        <v>500.0</v>
      </c>
      <c r="G20" s="37">
        <f>E20*F20</f>
        <v>500</v>
      </c>
      <c r="H20" s="38" t="s">
        <v>19</v>
      </c>
    </row>
    <row r="21" ht="15.0" customHeight="1">
      <c r="A21" s="18"/>
      <c r="B21" s="19" t="s">
        <v>41</v>
      </c>
      <c r="C21" s="19" t="s">
        <v>21</v>
      </c>
      <c r="D21" s="20" t="s">
        <v>42</v>
      </c>
      <c r="E21" s="39">
        <v>1.0</v>
      </c>
      <c r="F21" s="40">
        <v>5.0</v>
      </c>
      <c r="G21" s="26">
        <v>5.0</v>
      </c>
      <c r="H21" s="38" t="s">
        <v>19</v>
      </c>
    </row>
    <row r="22" ht="15.0" customHeight="1">
      <c r="A22" s="18"/>
      <c r="B22" s="19" t="s">
        <v>43</v>
      </c>
      <c r="C22" s="25" t="s">
        <v>30</v>
      </c>
      <c r="D22" s="41" t="s">
        <v>31</v>
      </c>
      <c r="E22" s="36">
        <v>1.0</v>
      </c>
      <c r="F22" s="19">
        <v>0.4</v>
      </c>
      <c r="G22" s="37">
        <f t="shared" ref="G22:G23" si="2">E22*F22</f>
        <v>0.4</v>
      </c>
      <c r="H22" s="38" t="s">
        <v>19</v>
      </c>
    </row>
    <row r="23" ht="15.0" customHeight="1">
      <c r="A23" s="18"/>
      <c r="B23" s="19" t="s">
        <v>44</v>
      </c>
      <c r="C23" s="19" t="s">
        <v>33</v>
      </c>
      <c r="D23" s="20" t="s">
        <v>34</v>
      </c>
      <c r="E23" s="36">
        <v>1.0</v>
      </c>
      <c r="F23" s="19">
        <v>20.0</v>
      </c>
      <c r="G23" s="37">
        <f t="shared" si="2"/>
        <v>20</v>
      </c>
      <c r="H23" s="38" t="s">
        <v>19</v>
      </c>
    </row>
    <row r="24" ht="15.0" customHeight="1">
      <c r="A24" s="18"/>
      <c r="B24" s="19" t="s">
        <v>45</v>
      </c>
      <c r="C24" s="19" t="s">
        <v>27</v>
      </c>
      <c r="D24" s="20" t="s">
        <v>28</v>
      </c>
      <c r="E24" s="36">
        <v>1.0</v>
      </c>
      <c r="F24" s="19">
        <v>100.0</v>
      </c>
      <c r="G24" s="26">
        <v>100.0</v>
      </c>
      <c r="H24" s="27" t="s">
        <v>19</v>
      </c>
    </row>
    <row r="25" ht="15.0" customHeight="1">
      <c r="A25" s="18"/>
      <c r="B25" s="19" t="s">
        <v>46</v>
      </c>
      <c r="C25" s="19" t="s">
        <v>47</v>
      </c>
      <c r="D25" s="20" t="s">
        <v>25</v>
      </c>
      <c r="E25" s="42">
        <v>1.0</v>
      </c>
      <c r="F25" s="42">
        <v>550.0</v>
      </c>
      <c r="G25" s="26">
        <v>550.0</v>
      </c>
      <c r="H25" s="27" t="s">
        <v>19</v>
      </c>
    </row>
    <row r="26" ht="15.0" customHeight="1">
      <c r="A26" s="18"/>
      <c r="B26" s="43"/>
      <c r="C26" s="43"/>
      <c r="D26" s="43"/>
      <c r="E26" s="43"/>
      <c r="F26" s="43"/>
      <c r="G26" s="37"/>
      <c r="H26" s="38"/>
    </row>
    <row r="27" ht="15.0" customHeight="1">
      <c r="A27" s="18"/>
      <c r="B27" s="43" t="s">
        <v>48</v>
      </c>
      <c r="G27" s="37">
        <f>SUM(G20:G25)</f>
        <v>1175.4</v>
      </c>
      <c r="H27" s="38" t="s">
        <v>19</v>
      </c>
    </row>
    <row r="28" ht="15.0" customHeight="1">
      <c r="A28" s="18"/>
      <c r="B28" s="43" t="s">
        <v>49</v>
      </c>
      <c r="G28" s="44">
        <v>0.25</v>
      </c>
      <c r="H28" s="44"/>
    </row>
    <row r="29" ht="15.0" customHeight="1">
      <c r="A29" s="45"/>
      <c r="B29" s="46" t="s">
        <v>50</v>
      </c>
      <c r="G29" s="37">
        <f>G27*(1+G28)</f>
        <v>1469.25</v>
      </c>
      <c r="H29" s="38" t="s">
        <v>19</v>
      </c>
    </row>
    <row r="30" ht="15.0" customHeight="1">
      <c r="A30" s="47"/>
      <c r="B30" s="48"/>
      <c r="C30" s="48"/>
      <c r="D30" s="39"/>
      <c r="E30" s="39"/>
      <c r="F30" s="49"/>
      <c r="G30" s="50"/>
      <c r="H30" s="37"/>
    </row>
    <row r="31" ht="15.0" customHeight="1">
      <c r="A31" s="47" t="s">
        <v>51</v>
      </c>
      <c r="B31" s="48" t="s">
        <v>52</v>
      </c>
      <c r="C31" s="51" t="s">
        <v>36</v>
      </c>
      <c r="D31" s="52" t="s">
        <v>37</v>
      </c>
      <c r="E31" s="39">
        <v>1.0</v>
      </c>
      <c r="F31" s="53">
        <v>1500.0</v>
      </c>
      <c r="G31" s="50">
        <f>E31*F31</f>
        <v>1500</v>
      </c>
      <c r="H31" s="38" t="s">
        <v>19</v>
      </c>
    </row>
    <row r="32" ht="15.0" customHeight="1">
      <c r="A32" s="54"/>
      <c r="B32" s="55" t="s">
        <v>53</v>
      </c>
      <c r="C32" s="56"/>
      <c r="D32" s="56"/>
      <c r="E32" s="56"/>
      <c r="F32" s="56"/>
      <c r="G32" s="50">
        <f>G31-G29</f>
        <v>30.75</v>
      </c>
      <c r="H32" s="38" t="s">
        <v>19</v>
      </c>
    </row>
    <row r="33" ht="15.0" customHeight="1">
      <c r="A33" s="57"/>
      <c r="B33" s="58"/>
      <c r="C33" s="58"/>
      <c r="D33" s="58"/>
      <c r="E33" s="58"/>
      <c r="F33" s="58"/>
      <c r="G33" s="59"/>
      <c r="H33" s="60"/>
    </row>
    <row r="34" ht="15.0" customHeight="1">
      <c r="A34" s="12" t="s">
        <v>54</v>
      </c>
      <c r="B34" s="4"/>
      <c r="C34" s="4"/>
      <c r="D34" s="4"/>
      <c r="E34" s="4"/>
      <c r="F34" s="4"/>
      <c r="G34" s="4"/>
      <c r="H34" s="5"/>
    </row>
    <row r="35" ht="15.0" customHeight="1">
      <c r="A35" s="61"/>
      <c r="B35" s="56"/>
      <c r="C35" s="56"/>
      <c r="D35" s="56"/>
      <c r="E35" s="56"/>
      <c r="F35" s="56"/>
      <c r="G35" s="56"/>
      <c r="H35" s="62"/>
    </row>
    <row r="36" ht="15.0" customHeight="1">
      <c r="A36" s="63" t="s">
        <v>55</v>
      </c>
      <c r="B36" s="64" t="s">
        <v>9</v>
      </c>
      <c r="C36" s="64" t="s">
        <v>10</v>
      </c>
      <c r="D36" s="65" t="s">
        <v>56</v>
      </c>
      <c r="E36" s="65" t="s">
        <v>12</v>
      </c>
      <c r="F36" s="65" t="s">
        <v>13</v>
      </c>
      <c r="G36" s="66" t="s">
        <v>14</v>
      </c>
      <c r="H36" s="66" t="s">
        <v>15</v>
      </c>
      <c r="I36" s="67"/>
      <c r="J36" s="67"/>
      <c r="K36" s="67"/>
      <c r="L36" s="67"/>
      <c r="M36" s="67"/>
      <c r="N36" s="67"/>
      <c r="O36" s="67"/>
      <c r="P36" s="67"/>
      <c r="Q36" s="67"/>
      <c r="R36" s="67"/>
      <c r="S36" s="67"/>
      <c r="T36" s="67"/>
      <c r="U36" s="67"/>
      <c r="V36" s="67"/>
      <c r="W36" s="67"/>
      <c r="X36" s="67"/>
      <c r="Y36" s="67"/>
      <c r="Z36" s="67"/>
    </row>
    <row r="37" ht="15.0" customHeight="1">
      <c r="A37" s="68" t="s">
        <v>39</v>
      </c>
      <c r="B37" s="69" t="s">
        <v>52</v>
      </c>
      <c r="C37" s="70" t="s">
        <v>36</v>
      </c>
      <c r="D37" s="71" t="s">
        <v>37</v>
      </c>
      <c r="E37" s="72">
        <v>1.0</v>
      </c>
      <c r="F37" s="73">
        <v>1500.0</v>
      </c>
      <c r="G37" s="74">
        <v>1469.25</v>
      </c>
      <c r="H37" s="75" t="s">
        <v>19</v>
      </c>
      <c r="I37" s="67"/>
      <c r="J37" s="67"/>
      <c r="K37" s="67"/>
      <c r="L37" s="67"/>
      <c r="M37" s="67"/>
      <c r="N37" s="67"/>
      <c r="O37" s="67"/>
      <c r="P37" s="67"/>
      <c r="Q37" s="67"/>
      <c r="R37" s="67"/>
      <c r="S37" s="67"/>
      <c r="T37" s="67"/>
      <c r="U37" s="67"/>
      <c r="V37" s="67"/>
      <c r="W37" s="67"/>
      <c r="X37" s="67"/>
      <c r="Y37" s="67"/>
      <c r="Z37" s="67"/>
    </row>
    <row r="38" ht="15.0" customHeight="1">
      <c r="A38" s="68"/>
      <c r="B38" s="69"/>
      <c r="C38" s="69"/>
      <c r="D38" s="76"/>
      <c r="E38" s="72"/>
      <c r="F38" s="77"/>
      <c r="G38" s="78"/>
      <c r="H38" s="75"/>
      <c r="I38" s="67"/>
      <c r="J38" s="67"/>
      <c r="K38" s="67"/>
      <c r="L38" s="67"/>
      <c r="M38" s="67"/>
      <c r="N38" s="67"/>
      <c r="O38" s="67"/>
      <c r="P38" s="67"/>
      <c r="Q38" s="67"/>
      <c r="R38" s="67"/>
      <c r="S38" s="67"/>
      <c r="T38" s="67"/>
      <c r="U38" s="67"/>
      <c r="V38" s="67"/>
      <c r="W38" s="67"/>
      <c r="X38" s="67"/>
      <c r="Y38" s="67"/>
      <c r="Z38" s="67"/>
    </row>
    <row r="39" ht="15.0" customHeight="1">
      <c r="A39" s="68"/>
      <c r="B39" s="69"/>
      <c r="C39" s="69"/>
      <c r="D39" s="76"/>
      <c r="E39" s="72"/>
      <c r="F39" s="79" t="s">
        <v>57</v>
      </c>
      <c r="G39" s="74">
        <v>30.75</v>
      </c>
      <c r="H39" s="80" t="s">
        <v>19</v>
      </c>
      <c r="I39" s="67"/>
      <c r="J39" s="67"/>
      <c r="K39" s="67"/>
      <c r="L39" s="67"/>
      <c r="M39" s="67"/>
      <c r="N39" s="67"/>
      <c r="O39" s="67"/>
      <c r="P39" s="67"/>
      <c r="Q39" s="67"/>
      <c r="R39" s="67"/>
      <c r="S39" s="67"/>
      <c r="T39" s="67"/>
      <c r="U39" s="67"/>
      <c r="V39" s="67"/>
      <c r="W39" s="67"/>
      <c r="X39" s="67"/>
      <c r="Y39" s="67"/>
      <c r="Z39" s="67"/>
    </row>
    <row r="40" ht="15.0" customHeight="1">
      <c r="A40" s="68"/>
      <c r="B40" s="69"/>
      <c r="C40" s="69"/>
      <c r="D40" s="76"/>
      <c r="E40" s="72"/>
      <c r="F40" s="77"/>
      <c r="G40" s="78"/>
      <c r="H40" s="75"/>
      <c r="I40" s="67"/>
      <c r="J40" s="67"/>
      <c r="K40" s="67"/>
      <c r="L40" s="67"/>
      <c r="M40" s="67"/>
      <c r="N40" s="67"/>
      <c r="O40" s="67"/>
      <c r="P40" s="67"/>
      <c r="Q40" s="67"/>
      <c r="R40" s="67"/>
      <c r="S40" s="67"/>
      <c r="T40" s="67"/>
      <c r="U40" s="67"/>
      <c r="V40" s="67"/>
      <c r="W40" s="67"/>
      <c r="X40" s="67"/>
      <c r="Y40" s="67"/>
      <c r="Z40" s="67"/>
    </row>
    <row r="41" ht="15.0" customHeight="1">
      <c r="A41" s="12" t="s">
        <v>58</v>
      </c>
      <c r="B41" s="4"/>
      <c r="C41" s="4"/>
      <c r="D41" s="4"/>
      <c r="E41" s="4"/>
      <c r="F41" s="4"/>
      <c r="G41" s="4"/>
      <c r="H41" s="5"/>
    </row>
    <row r="42" ht="15.0" customHeight="1">
      <c r="A42" s="35" t="s">
        <v>59</v>
      </c>
      <c r="B42" s="14" t="s">
        <v>9</v>
      </c>
      <c r="C42" s="14" t="s">
        <v>10</v>
      </c>
      <c r="D42" s="16" t="s">
        <v>56</v>
      </c>
      <c r="E42" s="81" t="s">
        <v>60</v>
      </c>
      <c r="F42" s="16" t="s">
        <v>13</v>
      </c>
      <c r="G42" s="34" t="s">
        <v>14</v>
      </c>
      <c r="H42" s="34" t="s">
        <v>15</v>
      </c>
    </row>
    <row r="43" ht="15.0" customHeight="1">
      <c r="A43" s="82" t="s">
        <v>61</v>
      </c>
      <c r="B43" s="48" t="s">
        <v>62</v>
      </c>
      <c r="C43" s="52" t="s">
        <v>63</v>
      </c>
      <c r="D43" s="39" t="s">
        <v>64</v>
      </c>
      <c r="E43" s="52" t="s">
        <v>65</v>
      </c>
      <c r="F43" s="53">
        <v>5000.0</v>
      </c>
      <c r="G43" s="83">
        <v>5000.0</v>
      </c>
      <c r="H43" s="84" t="s">
        <v>19</v>
      </c>
    </row>
    <row r="44" ht="15.0" customHeight="1">
      <c r="A44" s="85"/>
      <c r="B44" s="48"/>
      <c r="C44" s="48"/>
      <c r="D44" s="39"/>
      <c r="E44" s="39"/>
      <c r="F44" s="49"/>
      <c r="G44" s="50"/>
      <c r="H44" s="86"/>
    </row>
    <row r="45" ht="15.0" customHeight="1">
      <c r="A45" s="87" t="s">
        <v>66</v>
      </c>
      <c r="B45" s="88" t="s">
        <v>67</v>
      </c>
      <c r="C45" s="88" t="s">
        <v>67</v>
      </c>
      <c r="D45" s="52" t="s">
        <v>67</v>
      </c>
      <c r="E45" s="52" t="s">
        <v>67</v>
      </c>
      <c r="F45" s="53" t="s">
        <v>67</v>
      </c>
      <c r="G45" s="89" t="s">
        <v>67</v>
      </c>
      <c r="H45" s="27" t="s">
        <v>67</v>
      </c>
    </row>
    <row r="46" ht="15.0" customHeight="1">
      <c r="A46" s="90"/>
      <c r="B46" s="48" t="s">
        <v>52</v>
      </c>
      <c r="C46" s="48" t="s">
        <v>36</v>
      </c>
      <c r="D46" s="52" t="s">
        <v>68</v>
      </c>
      <c r="E46" s="52" t="s">
        <v>69</v>
      </c>
      <c r="F46" s="53">
        <v>1469.25</v>
      </c>
      <c r="G46" s="89">
        <v>1469.25</v>
      </c>
      <c r="H46" s="38" t="s">
        <v>19</v>
      </c>
    </row>
    <row r="47" ht="15.0" customHeight="1">
      <c r="A47" s="87"/>
      <c r="B47" s="91"/>
      <c r="C47" s="7"/>
      <c r="D47" s="39"/>
      <c r="E47" s="52"/>
      <c r="F47" s="7"/>
      <c r="G47" s="26"/>
      <c r="H47" s="86"/>
    </row>
    <row r="48" ht="15.0" customHeight="1">
      <c r="A48" s="85"/>
      <c r="B48" s="92" t="s">
        <v>70</v>
      </c>
      <c r="G48" s="93">
        <f>G43-SUM(G45:G46)</f>
        <v>3530.75</v>
      </c>
      <c r="H48" s="84" t="s">
        <v>19</v>
      </c>
    </row>
    <row r="49" ht="15.0" customHeight="1">
      <c r="A49" s="85"/>
      <c r="B49" s="6"/>
      <c r="C49" s="6"/>
      <c r="D49" s="29"/>
      <c r="E49" s="29"/>
      <c r="F49" s="29"/>
      <c r="G49" s="94"/>
      <c r="H49" s="95"/>
    </row>
    <row r="50" ht="15.0" customHeight="1">
      <c r="A50" s="45"/>
      <c r="B50" s="91"/>
      <c r="C50" s="7"/>
      <c r="D50" s="96"/>
      <c r="E50" s="39"/>
      <c r="F50" s="91"/>
      <c r="G50" s="37"/>
      <c r="H50" s="97"/>
    </row>
    <row r="51" ht="15.0" customHeight="1">
      <c r="A51" s="98" t="s">
        <v>71</v>
      </c>
      <c r="B51" s="99"/>
      <c r="C51" s="99"/>
      <c r="D51" s="99"/>
      <c r="E51" s="99"/>
      <c r="F51" s="100"/>
      <c r="G51" s="101"/>
      <c r="H51" s="101"/>
    </row>
    <row r="52" ht="15.0" customHeight="1">
      <c r="A52" s="102" t="s">
        <v>72</v>
      </c>
    </row>
    <row r="53" ht="15.0" customHeight="1">
      <c r="A53" s="103" t="s">
        <v>73</v>
      </c>
      <c r="B53" s="99"/>
      <c r="C53" s="99"/>
      <c r="D53" s="99"/>
      <c r="E53" s="99"/>
      <c r="F53" s="99"/>
      <c r="G53" s="99"/>
      <c r="H53" s="100"/>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sheetData>
  <mergeCells count="19">
    <mergeCell ref="A1:H1"/>
    <mergeCell ref="B2:D2"/>
    <mergeCell ref="B3:D3"/>
    <mergeCell ref="B4:D4"/>
    <mergeCell ref="B5:D5"/>
    <mergeCell ref="A7:H7"/>
    <mergeCell ref="A17:H17"/>
    <mergeCell ref="A45:A46"/>
    <mergeCell ref="B48:F48"/>
    <mergeCell ref="A51:F51"/>
    <mergeCell ref="A52:H52"/>
    <mergeCell ref="A53:H53"/>
    <mergeCell ref="B27:F27"/>
    <mergeCell ref="B28:F28"/>
    <mergeCell ref="B29:F29"/>
    <mergeCell ref="B32:F32"/>
    <mergeCell ref="A34:H34"/>
    <mergeCell ref="A35:H35"/>
    <mergeCell ref="A41:H41"/>
  </mergeCells>
  <conditionalFormatting sqref="G32">
    <cfRule type="cellIs" dxfId="0" priority="1" operator="lessThan">
      <formula>0</formula>
    </cfRule>
  </conditionalFormatting>
  <printOptions/>
  <pageMargins bottom="0.75" footer="0.0" header="0.0" left="0.25" right="0.25" top="0.75"/>
  <pageSetup paperSize="9" orientation="portrait"/>
  <drawing r:id="rId2"/>
  <legacyDrawing r:id="rId3"/>
</worksheet>
</file>